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286356D0-7B4C-4F03-A5CD-3D954FBFEDCA}" xr6:coauthVersionLast="38" xr6:coauthVersionMax="38" xr10:uidLastSave="{00000000-0000-0000-0000-000000000000}"/>
  <bookViews>
    <workbookView xWindow="0" yWindow="0" windowWidth="28800" windowHeight="12225" firstSheet="1" activeTab="4" xr2:uid="{1A6E117C-40D8-423F-BACE-7E6AC62B7B4A}"/>
  </bookViews>
  <sheets>
    <sheet name="Version" sheetId="4" state="hidden" r:id="rId1"/>
    <sheet name="NextGen" sheetId="6" r:id="rId2"/>
    <sheet name="Verified Data Set" sheetId="5" r:id="rId3"/>
    <sheet name="_Results" sheetId="7" r:id="rId4"/>
    <sheet name="Config" sheetId="1" r:id="rId5"/>
    <sheet name="Worksheet 2" sheetId="3" state="hidden" r:id="rId6"/>
    <sheet name="Worksheet 1" sheetId="2" state="hidden" r:id="rId7"/>
  </sheets>
  <functionGroups builtInGroupCount="19"/>
  <calcPr calcId="1790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<sst xmlns="http://schemas.openxmlformats.org/spreadsheetml/2006/main" count="227" uniqueCount="101">
  <si>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</si>
  <si>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</si>
  <si>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</si>
  <si>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</si>
  <si>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</si>
  <si>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</si>
  <si>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</si>
  <si>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</si>
  <si>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</si>
  <si>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</si>
  <si>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</si>
  <si>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</si>
  <si>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</si>
  <si>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</si>
  <si>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</si>
  <si>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</si>
  <si>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</si>
  <si>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</si>
  <si>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</si>
  <si>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</si>
  <si>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</si>
  <si>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</si>
  <si>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</si>
  <si>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</si>
  <si>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</si>
  <si>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</si>
  <si>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</si>
  <si>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Version</t>
  </si>
  <si>
    <t>Date Updated</t>
  </si>
  <si>
    <t>Updated By</t>
  </si>
  <si>
    <t>Notes</t>
  </si>
  <si>
    <t>CCO</t>
  </si>
  <si>
    <t>Working initial version (no validation)</t>
  </si>
  <si>
    <t>Verified Data Set</t>
  </si>
  <si>
    <t>Create Result Sheet</t>
  </si>
  <si>
    <t>Yes</t>
  </si>
  <si>
    <t>BIA - Investment Metrics</t>
  </si>
  <si>
    <t>B,C,D,E,F,G,H,I,J,K</t>
  </si>
  <si>
    <t>2018.10.26</t>
  </si>
  <si>
    <t>2018.09.13</t>
  </si>
  <si>
    <t>Bugfix on missing index, Multiple value column comparison</t>
  </si>
  <si>
    <t>D:\ClarissaO\Documents\HarbourVest\Sprint 25\Regression\2018.10.29 - Investment Performance - 12D - Comparison.xlsx</t>
  </si>
  <si>
    <t>Page by:</t>
  </si>
  <si>
    <t>Date: 03/31/2017</t>
  </si>
  <si>
    <t>Currency: Dollar:$</t>
  </si>
  <si>
    <t>Fund Perspective View: Quarterly Reporting</t>
  </si>
  <si>
    <t>Fund Perspective: 2013 Direct</t>
  </si>
  <si>
    <t>Investment</t>
  </si>
  <si>
    <t>Investment Commitment</t>
  </si>
  <si>
    <t>Investment Calls</t>
  </si>
  <si>
    <t>Investment Distributions</t>
  </si>
  <si>
    <t>Investment NAV</t>
  </si>
  <si>
    <t>Investment Total Value</t>
  </si>
  <si>
    <t>Investment Gain/(Loss)</t>
  </si>
  <si>
    <t>Investment Unfunded</t>
  </si>
  <si>
    <t>Investment D/F</t>
  </si>
  <si>
    <t>Investment NAV/F</t>
  </si>
  <si>
    <t>Investment TV/F</t>
  </si>
  <si>
    <t>Acrisure -Deal</t>
  </si>
  <si>
    <t>Alliant Insurance</t>
  </si>
  <si>
    <t>Appriss (Alert Holding Company)</t>
  </si>
  <si>
    <t>Catalina (PDM Group)</t>
  </si>
  <si>
    <t>Digital Insight Corporation</t>
  </si>
  <si>
    <t>Eaton Towers</t>
  </si>
  <si>
    <t>Erico - Deal</t>
  </si>
  <si>
    <t>H-Line Shipping (HCPE Investments)</t>
  </si>
  <si>
    <t>Heritage</t>
  </si>
  <si>
    <t>HUB (H&amp;F Hockey Partners)</t>
  </si>
  <si>
    <t>Ingham (TPG Asia VI SF)</t>
  </si>
  <si>
    <t>Intelex Technologies</t>
  </si>
  <si>
    <t>Kuoni Reisen (Kiwi)</t>
  </si>
  <si>
    <t>LeasePlan (TDR Capital)</t>
  </si>
  <si>
    <t>Leasing Partners (Project Arriendo)</t>
  </si>
  <si>
    <t>Lightower Fiber Networks (Sidera)</t>
  </si>
  <si>
    <t>Lionbridge (Bain Capital) - Deal</t>
  </si>
  <si>
    <t>Marle</t>
  </si>
  <si>
    <t>MedOptions</t>
  </si>
  <si>
    <t>Planview</t>
  </si>
  <si>
    <t>PnR Holdings</t>
  </si>
  <si>
    <t>Press Ganey Holdings (EQT Pager)</t>
  </si>
  <si>
    <t>Preston Hollow Capital</t>
  </si>
  <si>
    <t>Project Excalibur</t>
  </si>
  <si>
    <t>Riverbed</t>
  </si>
  <si>
    <t>San Miguel (NG Co-Investment)</t>
  </si>
  <si>
    <t>Sebia (Astorg)</t>
  </si>
  <si>
    <t>Securus</t>
  </si>
  <si>
    <t>TownePark - Deal</t>
  </si>
  <si>
    <t>TriTech (Palermo TT Holdings)</t>
  </si>
  <si>
    <t>Fund Perspective View: Investor Marketed</t>
  </si>
  <si>
    <t>Investment (1)</t>
  </si>
  <si>
    <t>Investment Unfunded (1)</t>
  </si>
  <si>
    <t>Batch</t>
  </si>
  <si>
    <t>Issues</t>
  </si>
  <si>
    <t>Duplicate in NextGen</t>
  </si>
  <si>
    <t>Column</t>
  </si>
  <si>
    <t>18/11/08 21:18:44</t>
  </si>
  <si>
    <t>18/11/08 21:18:45</t>
  </si>
  <si>
    <t>18/11/08 21:18:46</t>
  </si>
  <si>
    <t>18/11/08 21:24:50</t>
  </si>
  <si>
    <t>18/11/08 21:24:51</t>
  </si>
  <si>
    <t>18/11/08 21:24:52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</si>
</sst>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  <xf numFmtId="1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66675</xdr:rowOff>
        </xdr:from>
        <xdr:to>
          <xdr:col>11</xdr:col>
          <xdr:colOff>19050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10</xdr:row>
          <xdr:rowOff>38100</xdr:rowOff>
        </xdr:from>
        <xdr:to>
          <xdr:col>11</xdr:col>
          <xdr:colOff>28575</xdr:colOff>
          <xdr:row>12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5980C1CC-4351-4E96-A803-E5DD31297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3"/>
  <sheetViews>
    <sheetView workbookViewId="0">
      <selection activeCell="D4" sqref="D4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27</v>
      </c>
      <c r="B1" s="1" t="s">
        <v>28</v>
      </c>
      <c r="C1" s="1" t="s">
        <v>29</v>
      </c>
      <c r="D1" s="1" t="s">
        <v>30</v>
      </c>
    </row>
    <row r="2" spans="1:4" x14ac:dyDescent="0.25">
      <c r="A2">
        <v>1</v>
      </c>
      <c r="B2" t="s">
        <v>39</v>
      </c>
      <c r="C2" t="s">
        <v>31</v>
      </c>
      <c r="D2" t="s">
        <v>32</v>
      </c>
    </row>
    <row r="3" spans="1:4" x14ac:dyDescent="0.25">
      <c r="A3">
        <v>2</v>
      </c>
      <c r="B3" t="s">
        <v>38</v>
      </c>
      <c r="C3" t="s">
        <v>31</v>
      </c>
      <c r="D3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FF415-0D10-44B2-97D8-37DA158D382F}">
  <sheetPr codeName="Sheet6"/>
  <dimension ref="A1:K40"/>
  <sheetViews>
    <sheetView workbookViewId="0">
      <selection activeCell="H24" sqref="H24"/>
    </sheetView>
  </sheetViews>
  <sheetFormatPr defaultRowHeight="15" x14ac:dyDescent="0.25"/>
  <cols>
    <col min="1" max="1" width="25.42578125" customWidth="1"/>
  </cols>
  <sheetData>
    <row r="1" spans="1:11" x14ac:dyDescent="0.25">
      <c r="A1" t="s">
        <v>36</v>
      </c>
    </row>
    <row r="3" spans="1:11" x14ac:dyDescent="0.25">
      <c r="A3" t="s">
        <v>42</v>
      </c>
    </row>
    <row r="4" spans="1:11" x14ac:dyDescent="0.25">
      <c r="A4" t="s">
        <v>43</v>
      </c>
    </row>
    <row r="5" spans="1:11" x14ac:dyDescent="0.25">
      <c r="A5" t="s">
        <v>44</v>
      </c>
    </row>
    <row r="6" spans="1:11" x14ac:dyDescent="0.25">
      <c r="A6" t="s">
        <v>88</v>
      </c>
    </row>
    <row r="7" spans="1:11" x14ac:dyDescent="0.25">
      <c r="A7" t="s">
        <v>46</v>
      </c>
    </row>
    <row r="9" spans="1:11" x14ac:dyDescent="0.25">
      <c r="A9" t="s">
        <v>89</v>
      </c>
      <c r="B9" t="s">
        <v>48</v>
      </c>
      <c r="C9" t="s">
        <v>49</v>
      </c>
      <c r="D9" t="s">
        <v>50</v>
      </c>
      <c r="E9" t="s">
        <v>51</v>
      </c>
      <c r="F9" t="s">
        <v>52</v>
      </c>
      <c r="G9" t="s">
        <v>53</v>
      </c>
      <c r="H9" t="s">
        <v>90</v>
      </c>
      <c r="I9" t="s">
        <v>55</v>
      </c>
      <c r="J9" t="s">
        <v>56</v>
      </c>
      <c r="K9" t="s">
        <v>57</v>
      </c>
    </row>
    <row r="10" spans="1:11" x14ac:dyDescent="0.25">
      <c r="A10" t="s">
        <v>58</v>
      </c>
      <c r="B10">
        <v>33000000.0099</v>
      </c>
      <c r="C10">
        <v>26679237.0902</v>
      </c>
      <c r="D10">
        <v>0</v>
      </c>
      <c r="E10">
        <v>29016589.809999999</v>
      </c>
      <c r="F10">
        <v>29016589.809999999</v>
      </c>
      <c r="G10">
        <v>2337352.7198000001</v>
      </c>
      <c r="H10">
        <v>6320762.9197000004</v>
      </c>
      <c r="I10">
        <v>0</v>
      </c>
      <c r="J10">
        <v>1.0876094287065901</v>
      </c>
      <c r="K10">
        <v>1.0876094287065901</v>
      </c>
    </row>
    <row r="11" spans="1:11" x14ac:dyDescent="0.25">
      <c r="A11" t="s">
        <v>59</v>
      </c>
      <c r="B11">
        <v>14449646.630100001</v>
      </c>
      <c r="C11">
        <v>14449646.630000001</v>
      </c>
      <c r="D11">
        <v>84816.339900000006</v>
      </c>
      <c r="E11">
        <v>18997725.7399</v>
      </c>
      <c r="F11">
        <v>19082542.079799999</v>
      </c>
      <c r="G11">
        <v>4632895.4497999996</v>
      </c>
      <c r="H11">
        <v>9.9999830126762404E-5</v>
      </c>
      <c r="I11">
        <v>5.8697864433519403E-3</v>
      </c>
      <c r="J11">
        <v>1.3147536563598301</v>
      </c>
      <c r="K11">
        <v>1.32062344280318</v>
      </c>
    </row>
    <row r="12" spans="1:11" x14ac:dyDescent="0.25">
      <c r="A12" t="s">
        <v>60</v>
      </c>
      <c r="B12">
        <v>44460671.539899997</v>
      </c>
      <c r="C12">
        <v>44460671.539899997</v>
      </c>
      <c r="D12">
        <v>0</v>
      </c>
      <c r="E12">
        <v>57865372.620099999</v>
      </c>
      <c r="F12">
        <v>57865372.620099999</v>
      </c>
      <c r="G12">
        <v>13404701.0802</v>
      </c>
      <c r="H12">
        <v>0</v>
      </c>
      <c r="I12">
        <v>0</v>
      </c>
      <c r="J12">
        <v>1.30149569531738</v>
      </c>
      <c r="K12">
        <v>1.30149569531738</v>
      </c>
    </row>
    <row r="13" spans="1:11" x14ac:dyDescent="0.25">
      <c r="A13" t="s">
        <v>61</v>
      </c>
      <c r="B13">
        <v>54000000</v>
      </c>
      <c r="C13">
        <v>54000000</v>
      </c>
      <c r="D13">
        <v>0</v>
      </c>
      <c r="E13">
        <v>52482063.000100002</v>
      </c>
      <c r="F13">
        <v>52482063.000100002</v>
      </c>
      <c r="G13">
        <v>-1517936.9998999999</v>
      </c>
      <c r="H13">
        <v>0</v>
      </c>
      <c r="I13">
        <v>0</v>
      </c>
      <c r="J13">
        <v>0.97189005555740804</v>
      </c>
      <c r="K13">
        <v>0.97189005555740804</v>
      </c>
    </row>
    <row r="14" spans="1:11" x14ac:dyDescent="0.25">
      <c r="A14" t="s">
        <v>62</v>
      </c>
      <c r="B14">
        <v>29999999.999899998</v>
      </c>
      <c r="C14">
        <v>30000000</v>
      </c>
      <c r="D14">
        <v>58933639.640299998</v>
      </c>
      <c r="E14">
        <v>0</v>
      </c>
      <c r="F14">
        <v>58933639.640299998</v>
      </c>
      <c r="G14">
        <v>28933639.640299998</v>
      </c>
      <c r="H14">
        <v>-1.00001692771912E-4</v>
      </c>
      <c r="I14">
        <v>1.9644546546766699</v>
      </c>
      <c r="J14">
        <v>0</v>
      </c>
      <c r="K14">
        <v>1.9644546546766699</v>
      </c>
    </row>
    <row r="15" spans="1:11" x14ac:dyDescent="0.25">
      <c r="A15" t="s">
        <v>63</v>
      </c>
      <c r="B15">
        <v>19660843.369899999</v>
      </c>
      <c r="C15">
        <v>19660843.370000001</v>
      </c>
      <c r="D15">
        <v>0</v>
      </c>
      <c r="E15">
        <v>23968715.149999999</v>
      </c>
      <c r="F15">
        <v>23968715.149999999</v>
      </c>
      <c r="G15">
        <v>4307871.78</v>
      </c>
      <c r="H15">
        <v>-1.00001692771912E-4</v>
      </c>
      <c r="I15">
        <v>0</v>
      </c>
      <c r="J15">
        <v>1.2191092059953701</v>
      </c>
      <c r="K15">
        <v>1.2191092059953701</v>
      </c>
    </row>
    <row r="16" spans="1:11" x14ac:dyDescent="0.25">
      <c r="A16" t="s">
        <v>64</v>
      </c>
      <c r="B16">
        <v>14312238.150099998</v>
      </c>
      <c r="C16">
        <v>14312238.150099998</v>
      </c>
      <c r="D16">
        <v>33130742.269100003</v>
      </c>
      <c r="E16">
        <v>-1E-4</v>
      </c>
      <c r="F16">
        <v>33130742.269000001</v>
      </c>
      <c r="G16">
        <v>18818504.118900001</v>
      </c>
      <c r="H16">
        <v>0</v>
      </c>
      <c r="I16">
        <v>3.2393201537929803</v>
      </c>
      <c r="J16">
        <v>9.2761104304249801E-11</v>
      </c>
      <c r="K16">
        <v>3.2393201538857399</v>
      </c>
    </row>
    <row r="17" spans="1:11" x14ac:dyDescent="0.25">
      <c r="A17" t="s">
        <v>65</v>
      </c>
      <c r="B17">
        <v>61494620</v>
      </c>
      <c r="C17">
        <v>61494620</v>
      </c>
      <c r="D17">
        <v>0</v>
      </c>
      <c r="E17">
        <v>118980676</v>
      </c>
      <c r="F17">
        <v>118980676</v>
      </c>
      <c r="G17">
        <v>57486056</v>
      </c>
      <c r="H17">
        <v>0</v>
      </c>
      <c r="I17">
        <v>0</v>
      </c>
      <c r="J17">
        <v>1.9348143951454599</v>
      </c>
      <c r="K17">
        <v>1.9348143951454599</v>
      </c>
    </row>
    <row r="18" spans="1:11" x14ac:dyDescent="0.25">
      <c r="A18" t="s">
        <v>66</v>
      </c>
      <c r="B18">
        <v>16400000.0002</v>
      </c>
      <c r="C18">
        <v>16400000.0002</v>
      </c>
      <c r="D18">
        <v>0</v>
      </c>
      <c r="E18">
        <v>20669392</v>
      </c>
      <c r="F18">
        <v>20669392</v>
      </c>
      <c r="G18">
        <v>4269391.9998000003</v>
      </c>
      <c r="H18">
        <v>0</v>
      </c>
      <c r="I18">
        <v>0</v>
      </c>
      <c r="J18">
        <v>1.2603287804724399</v>
      </c>
      <c r="K18">
        <v>1.2603287804724399</v>
      </c>
    </row>
    <row r="19" spans="1:11" x14ac:dyDescent="0.25">
      <c r="A19" t="s">
        <v>67</v>
      </c>
      <c r="B19">
        <v>20634448</v>
      </c>
      <c r="C19">
        <v>20634448</v>
      </c>
      <c r="D19">
        <v>4353598</v>
      </c>
      <c r="E19">
        <v>32341978.999899998</v>
      </c>
      <c r="F19">
        <v>36695576.999899998</v>
      </c>
      <c r="G19">
        <v>16061128.9999</v>
      </c>
      <c r="H19">
        <v>0</v>
      </c>
      <c r="I19">
        <v>0.210986889496632</v>
      </c>
      <c r="J19">
        <v>1.5673779594152499</v>
      </c>
      <c r="K19">
        <v>1.77836484891188</v>
      </c>
    </row>
    <row r="20" spans="1:11" x14ac:dyDescent="0.25">
      <c r="A20" t="s">
        <v>68</v>
      </c>
      <c r="B20">
        <v>18972002.199999999</v>
      </c>
      <c r="C20">
        <v>18972002.199999999</v>
      </c>
      <c r="D20">
        <v>41894606.1303</v>
      </c>
      <c r="E20">
        <v>26045010.68</v>
      </c>
      <c r="F20">
        <v>67939616.810299993</v>
      </c>
      <c r="G20">
        <v>48967614.610299997</v>
      </c>
      <c r="H20">
        <v>0</v>
      </c>
      <c r="I20">
        <v>2.2082332528034398</v>
      </c>
      <c r="J20">
        <v>1.3728129696295299</v>
      </c>
      <c r="K20">
        <v>3.58104622243297</v>
      </c>
    </row>
    <row r="21" spans="1:11" x14ac:dyDescent="0.25">
      <c r="A21" t="s">
        <v>69</v>
      </c>
      <c r="B21">
        <v>24156138.359949999</v>
      </c>
      <c r="C21">
        <v>24156138.360100001</v>
      </c>
      <c r="D21">
        <v>0</v>
      </c>
      <c r="E21">
        <v>31987496.139899999</v>
      </c>
      <c r="F21">
        <v>31987496.139899999</v>
      </c>
      <c r="G21">
        <v>7831357.7797999997</v>
      </c>
      <c r="H21">
        <v>-1.50002539157867E-4</v>
      </c>
      <c r="I21">
        <v>0</v>
      </c>
      <c r="J21">
        <v>1.3241974219163899</v>
      </c>
      <c r="K21">
        <v>1.3241974219163899</v>
      </c>
    </row>
    <row r="22" spans="1:11" x14ac:dyDescent="0.25">
      <c r="A22" t="s">
        <v>70</v>
      </c>
      <c r="B22">
        <v>39702146.490099996</v>
      </c>
      <c r="C22">
        <v>39702146.490099996</v>
      </c>
      <c r="D22">
        <v>0</v>
      </c>
      <c r="E22">
        <v>38280470.780100003</v>
      </c>
      <c r="F22">
        <v>38280470.780100003</v>
      </c>
      <c r="G22">
        <v>-1421675.70999999</v>
      </c>
      <c r="H22">
        <v>0</v>
      </c>
      <c r="I22">
        <v>0</v>
      </c>
      <c r="J22">
        <v>0.96419146480267803</v>
      </c>
      <c r="K22">
        <v>0.96419146480267803</v>
      </c>
    </row>
    <row r="23" spans="1:11" x14ac:dyDescent="0.25">
      <c r="A23" t="s">
        <v>71</v>
      </c>
      <c r="B23">
        <v>57431681.850100003</v>
      </c>
      <c r="C23">
        <v>57431681.850100003</v>
      </c>
      <c r="D23">
        <v>0</v>
      </c>
      <c r="E23">
        <v>95765977.619900003</v>
      </c>
      <c r="F23">
        <v>95765977.619900003</v>
      </c>
      <c r="G23">
        <v>38334295.7698</v>
      </c>
      <c r="H23">
        <v>0</v>
      </c>
      <c r="I23">
        <v>0</v>
      </c>
      <c r="J23">
        <v>1.66747646133461</v>
      </c>
      <c r="K23">
        <v>1.66747646133461</v>
      </c>
    </row>
    <row r="24" spans="1:11" x14ac:dyDescent="0.25">
      <c r="A24" t="s">
        <v>72</v>
      </c>
      <c r="B24">
        <v>32566568.129900001</v>
      </c>
      <c r="C24">
        <v>30612220.3101</v>
      </c>
      <c r="D24">
        <v>0</v>
      </c>
      <c r="E24">
        <v>29053529.6501</v>
      </c>
      <c r="F24">
        <v>29053529.6501</v>
      </c>
      <c r="G24">
        <v>-1558690.66</v>
      </c>
      <c r="H24">
        <v>1954347.8197999999</v>
      </c>
      <c r="I24">
        <v>0</v>
      </c>
      <c r="J24">
        <v>0.94908273087641004</v>
      </c>
      <c r="K24">
        <v>0.94908273087641004</v>
      </c>
    </row>
    <row r="25" spans="1:11" x14ac:dyDescent="0.25">
      <c r="A25" t="s">
        <v>73</v>
      </c>
      <c r="B25">
        <v>87649409.909700006</v>
      </c>
      <c r="C25">
        <v>87649409.909700006</v>
      </c>
      <c r="D25">
        <v>0</v>
      </c>
      <c r="E25">
        <v>164656134.68009999</v>
      </c>
      <c r="F25">
        <v>164656134.68009999</v>
      </c>
      <c r="G25">
        <v>77006724.770400003</v>
      </c>
      <c r="H25">
        <v>0</v>
      </c>
      <c r="I25">
        <v>0</v>
      </c>
      <c r="J25">
        <v>1.8785766481455499</v>
      </c>
      <c r="K25">
        <v>1.8785766481455499</v>
      </c>
    </row>
    <row r="26" spans="1:11" x14ac:dyDescent="0.25">
      <c r="A26" t="s">
        <v>74</v>
      </c>
      <c r="B26">
        <v>8590502.4300999995</v>
      </c>
      <c r="C26">
        <v>8590502.4300999995</v>
      </c>
      <c r="D26">
        <v>0</v>
      </c>
      <c r="E26">
        <v>9056075.2001000009</v>
      </c>
      <c r="F26">
        <v>9056075.2001000009</v>
      </c>
      <c r="G26">
        <v>465572.77</v>
      </c>
      <c r="H26">
        <v>0</v>
      </c>
      <c r="I26">
        <v>0</v>
      </c>
      <c r="J26">
        <v>3.1331877778435295</v>
      </c>
      <c r="K26">
        <v>3.1331877778435295</v>
      </c>
    </row>
    <row r="27" spans="1:11" x14ac:dyDescent="0.25">
      <c r="A27" t="s">
        <v>75</v>
      </c>
      <c r="B27">
        <v>27842045.000206999</v>
      </c>
      <c r="C27">
        <v>27842045.000100002</v>
      </c>
      <c r="D27">
        <v>0</v>
      </c>
      <c r="E27">
        <v>28220016.110100001</v>
      </c>
      <c r="F27">
        <v>28220016.110100001</v>
      </c>
      <c r="G27">
        <v>377971.109999999</v>
      </c>
      <c r="H27">
        <v>1.07001513242722E-4</v>
      </c>
      <c r="I27">
        <v>0</v>
      </c>
      <c r="J27">
        <v>1.0135755512929701</v>
      </c>
      <c r="K27">
        <v>1.0135755512929701</v>
      </c>
    </row>
    <row r="28" spans="1:11" x14ac:dyDescent="0.25">
      <c r="A28" t="s">
        <v>76</v>
      </c>
      <c r="B28">
        <v>16660409.539799999</v>
      </c>
      <c r="C28">
        <v>16660409.539799999</v>
      </c>
      <c r="D28">
        <v>0</v>
      </c>
      <c r="E28">
        <v>17224806.760000002</v>
      </c>
      <c r="F28">
        <v>17224806.760000002</v>
      </c>
      <c r="G28">
        <v>564397.22020000196</v>
      </c>
      <c r="H28">
        <v>0</v>
      </c>
      <c r="I28">
        <v>0</v>
      </c>
      <c r="J28">
        <v>1.0338765514048001</v>
      </c>
      <c r="K28">
        <v>1.0338765514048001</v>
      </c>
    </row>
    <row r="29" spans="1:11" x14ac:dyDescent="0.25">
      <c r="A29" t="s">
        <v>77</v>
      </c>
      <c r="B29">
        <v>21309118.379999999</v>
      </c>
      <c r="C29">
        <v>21309118.379999999</v>
      </c>
      <c r="D29">
        <v>59077105.249799997</v>
      </c>
      <c r="E29">
        <v>10745865.6099</v>
      </c>
      <c r="F29">
        <v>69822970.859699994</v>
      </c>
      <c r="G29">
        <v>48513852.479699999</v>
      </c>
      <c r="H29">
        <v>0</v>
      </c>
      <c r="I29">
        <v>2.7723861774238299</v>
      </c>
      <c r="J29">
        <v>0.50428485206528795</v>
      </c>
      <c r="K29">
        <v>3.2766710294891102</v>
      </c>
    </row>
    <row r="30" spans="1:11" x14ac:dyDescent="0.25">
      <c r="A30" t="s">
        <v>78</v>
      </c>
      <c r="B30">
        <v>14999999.9999</v>
      </c>
      <c r="C30">
        <v>14999999.9999</v>
      </c>
      <c r="D30">
        <v>0</v>
      </c>
      <c r="E30">
        <v>16030197.0001</v>
      </c>
      <c r="F30">
        <v>16030197.0001</v>
      </c>
      <c r="G30">
        <v>1030197.0002</v>
      </c>
      <c r="H30">
        <v>0</v>
      </c>
      <c r="I30">
        <v>0</v>
      </c>
      <c r="J30">
        <v>1.06867980001379</v>
      </c>
      <c r="K30">
        <v>1.06867980001379</v>
      </c>
    </row>
    <row r="31" spans="1:11" x14ac:dyDescent="0.25">
      <c r="A31" t="s">
        <v>79</v>
      </c>
      <c r="B31">
        <v>60061403.5101</v>
      </c>
      <c r="C31">
        <v>60061403.510200001</v>
      </c>
      <c r="D31">
        <v>0</v>
      </c>
      <c r="E31">
        <v>69623358.000100002</v>
      </c>
      <c r="F31">
        <v>69623358.000100002</v>
      </c>
      <c r="G31">
        <v>9561954.4899000004</v>
      </c>
      <c r="H31">
        <v>-1.00001692771912E-4</v>
      </c>
      <c r="I31">
        <v>0</v>
      </c>
      <c r="J31">
        <v>1.1592029811337301</v>
      </c>
      <c r="K31">
        <v>1.1592029811337301</v>
      </c>
    </row>
    <row r="32" spans="1:11" x14ac:dyDescent="0.25">
      <c r="A32" t="s">
        <v>80</v>
      </c>
      <c r="B32">
        <v>70000000.000100002</v>
      </c>
      <c r="C32">
        <v>59999999.999899998</v>
      </c>
      <c r="D32">
        <v>97759.000100000005</v>
      </c>
      <c r="E32">
        <v>71694276.349900007</v>
      </c>
      <c r="F32">
        <v>71792035.349999994</v>
      </c>
      <c r="G32">
        <v>11792035.350099999</v>
      </c>
      <c r="H32">
        <v>10000000.0002</v>
      </c>
      <c r="I32">
        <v>1.6293166683360499E-3</v>
      </c>
      <c r="J32">
        <v>1.1949046058336601</v>
      </c>
      <c r="K32">
        <v>1.19653392250199</v>
      </c>
    </row>
    <row r="33" spans="1:11" x14ac:dyDescent="0.25">
      <c r="A33" t="s">
        <v>81</v>
      </c>
      <c r="B33">
        <v>51250000</v>
      </c>
      <c r="C33">
        <v>51249999.999799997</v>
      </c>
      <c r="D33">
        <v>0</v>
      </c>
      <c r="E33">
        <v>67035249.000100002</v>
      </c>
      <c r="F33">
        <v>67035249.000100002</v>
      </c>
      <c r="G33">
        <v>15785249.000299999</v>
      </c>
      <c r="H33">
        <v>2.00003385543823E-4</v>
      </c>
      <c r="I33">
        <v>0</v>
      </c>
      <c r="J33">
        <v>1.3080048585436399</v>
      </c>
      <c r="K33">
        <v>1.3080048585436399</v>
      </c>
    </row>
    <row r="34" spans="1:11" x14ac:dyDescent="0.25">
      <c r="A34" t="s">
        <v>82</v>
      </c>
      <c r="B34">
        <v>43295972.5</v>
      </c>
      <c r="C34">
        <v>43295972.500200003</v>
      </c>
      <c r="D34">
        <v>0</v>
      </c>
      <c r="E34">
        <v>40600621</v>
      </c>
      <c r="F34">
        <v>40600621</v>
      </c>
      <c r="G34">
        <v>-2695351.5002000001</v>
      </c>
      <c r="H34">
        <v>-2.00003385543823E-4</v>
      </c>
      <c r="I34">
        <v>0</v>
      </c>
      <c r="J34">
        <v>0.93774590696195703</v>
      </c>
      <c r="K34">
        <v>0.93774590696195703</v>
      </c>
    </row>
    <row r="35" spans="1:11" x14ac:dyDescent="0.25">
      <c r="A35" t="s">
        <v>83</v>
      </c>
      <c r="B35">
        <v>29999999.999899998</v>
      </c>
      <c r="C35">
        <v>30000000</v>
      </c>
      <c r="D35">
        <v>0</v>
      </c>
      <c r="E35">
        <v>64431869</v>
      </c>
      <c r="F35">
        <v>64431869</v>
      </c>
      <c r="G35">
        <v>34431869</v>
      </c>
      <c r="H35">
        <v>-1.00001692771912E-4</v>
      </c>
      <c r="I35">
        <v>0</v>
      </c>
      <c r="J35">
        <v>2.1477289666666701</v>
      </c>
      <c r="K35">
        <v>2.1477289666666701</v>
      </c>
    </row>
    <row r="36" spans="1:11" x14ac:dyDescent="0.25">
      <c r="A36" t="s">
        <v>84</v>
      </c>
      <c r="B36">
        <v>13881527.869899999</v>
      </c>
      <c r="C36">
        <v>13881527.869899999</v>
      </c>
      <c r="D36">
        <v>0</v>
      </c>
      <c r="E36">
        <v>14516189.460100001</v>
      </c>
      <c r="F36">
        <v>14516189.460100001</v>
      </c>
      <c r="G36">
        <v>634661.59020000102</v>
      </c>
      <c r="H36">
        <v>0</v>
      </c>
      <c r="I36">
        <v>0</v>
      </c>
      <c r="J36">
        <v>1.04571986571998</v>
      </c>
      <c r="K36">
        <v>1.04571986571998</v>
      </c>
    </row>
    <row r="37" spans="1:11" x14ac:dyDescent="0.25">
      <c r="A37" t="s">
        <v>85</v>
      </c>
      <c r="B37">
        <v>30334738.629700001</v>
      </c>
      <c r="C37">
        <v>30334738.629700001</v>
      </c>
      <c r="D37">
        <v>0</v>
      </c>
      <c r="E37">
        <v>90943884.959900007</v>
      </c>
      <c r="F37">
        <v>90943884.959900007</v>
      </c>
      <c r="G37">
        <v>60609146.330200002</v>
      </c>
      <c r="H37">
        <v>0</v>
      </c>
      <c r="I37">
        <v>0</v>
      </c>
      <c r="J37">
        <v>2.99801116040799</v>
      </c>
      <c r="K37">
        <v>2.99801116040799</v>
      </c>
    </row>
    <row r="38" spans="1:11" x14ac:dyDescent="0.25">
      <c r="A38" t="s">
        <v>86</v>
      </c>
      <c r="B38">
        <v>24999999.999899998</v>
      </c>
      <c r="C38">
        <v>24999999.999899998</v>
      </c>
      <c r="D38">
        <v>3766229.9298999999</v>
      </c>
      <c r="E38">
        <v>22322394.999899998</v>
      </c>
      <c r="F38">
        <v>26088624.9298</v>
      </c>
      <c r="G38">
        <v>1088624.9299000001</v>
      </c>
      <c r="H38">
        <v>0</v>
      </c>
      <c r="I38">
        <v>0.150649197196603</v>
      </c>
      <c r="J38">
        <v>0.89289579999957203</v>
      </c>
      <c r="K38">
        <v>1.0435449971961701</v>
      </c>
    </row>
    <row r="39" spans="1:11" x14ac:dyDescent="0.25">
      <c r="A39" t="s">
        <v>87</v>
      </c>
      <c r="B39">
        <v>21630938.739999998</v>
      </c>
      <c r="C39">
        <v>21630938.739999998</v>
      </c>
      <c r="D39">
        <v>0</v>
      </c>
      <c r="E39">
        <v>35476354.850100003</v>
      </c>
      <c r="F39">
        <v>35476354.850100003</v>
      </c>
      <c r="G39">
        <v>13845416.110099999</v>
      </c>
      <c r="H39">
        <v>0</v>
      </c>
      <c r="I39">
        <v>0</v>
      </c>
      <c r="J39">
        <v>1.6400746762089</v>
      </c>
      <c r="K39">
        <v>1.6400746762089</v>
      </c>
    </row>
    <row r="40" spans="1:11" x14ac:dyDescent="0.25">
      <c r="A40" t="s">
        <v>87</v>
      </c>
      <c r="B40">
        <v>21630938.739999998</v>
      </c>
      <c r="C40">
        <v>21630938.739999998</v>
      </c>
      <c r="D40">
        <v>0</v>
      </c>
      <c r="E40">
        <v>35476354.850100003</v>
      </c>
      <c r="F40">
        <v>35476354.850100003</v>
      </c>
      <c r="G40">
        <v>13845416.110099999</v>
      </c>
      <c r="H40">
        <v>0</v>
      </c>
      <c r="I40">
        <v>0</v>
      </c>
      <c r="J40">
        <v>1.6400746762089</v>
      </c>
      <c r="K40">
        <v>1.6400746762089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B3F7-8C68-4AE5-9CD6-163CD732F54B}">
  <sheetPr codeName="Sheet5"/>
  <dimension ref="A1:K37"/>
  <sheetViews>
    <sheetView workbookViewId="0">
      <selection activeCell="C15" sqref="C15"/>
    </sheetView>
  </sheetViews>
  <sheetFormatPr defaultRowHeight="15" x14ac:dyDescent="0.25"/>
  <cols>
    <col min="1" max="1" width="40.85546875" bestFit="1" customWidth="1"/>
  </cols>
  <sheetData>
    <row r="1" spans="1:11" x14ac:dyDescent="0.25">
      <c r="A1" t="s">
        <v>42</v>
      </c>
    </row>
    <row r="2" spans="1:11" x14ac:dyDescent="0.25">
      <c r="A2" t="s">
        <v>43</v>
      </c>
    </row>
    <row r="3" spans="1:11" x14ac:dyDescent="0.25">
      <c r="A3" t="s">
        <v>44</v>
      </c>
    </row>
    <row r="4" spans="1:11" x14ac:dyDescent="0.25">
      <c r="A4" t="s">
        <v>45</v>
      </c>
    </row>
    <row r="5" spans="1:11" x14ac:dyDescent="0.25">
      <c r="A5" t="s">
        <v>46</v>
      </c>
    </row>
    <row r="7" spans="1:11" x14ac:dyDescent="0.25">
      <c r="A7" t="s">
        <v>47</v>
      </c>
      <c r="B7" t="s">
        <v>48</v>
      </c>
      <c r="C7" t="s">
        <v>49</v>
      </c>
      <c r="D7" t="s">
        <v>50</v>
      </c>
      <c r="E7" t="s">
        <v>51</v>
      </c>
      <c r="F7" t="s">
        <v>52</v>
      </c>
      <c r="G7" t="s">
        <v>53</v>
      </c>
      <c r="H7" t="s">
        <v>54</v>
      </c>
      <c r="I7" t="s">
        <v>55</v>
      </c>
      <c r="J7" t="s">
        <v>56</v>
      </c>
      <c r="K7" t="s">
        <v>57</v>
      </c>
    </row>
    <row r="8" spans="1:11" x14ac:dyDescent="0.25">
      <c r="A8" t="s">
        <v>58</v>
      </c>
      <c r="B8">
        <v>33000000.0099</v>
      </c>
      <c r="C8">
        <v>26679237.0902</v>
      </c>
      <c r="D8">
        <v>0</v>
      </c>
      <c r="E8">
        <v>29016589.809999999</v>
      </c>
      <c r="F8">
        <v>29016589.809999999</v>
      </c>
      <c r="G8">
        <v>2337352.7198000001</v>
      </c>
      <c r="H8">
        <v>6320762.9197000004</v>
      </c>
      <c r="I8">
        <v>0</v>
      </c>
      <c r="J8">
        <v>1.0876094287065901</v>
      </c>
      <c r="K8">
        <v>1.0876094287065901</v>
      </c>
    </row>
    <row r="9" spans="1:11" x14ac:dyDescent="0.25">
      <c r="A9" t="s">
        <v>59</v>
      </c>
      <c r="B9">
        <v>14449646.630100001</v>
      </c>
      <c r="C9">
        <v>14449646.630000001</v>
      </c>
      <c r="D9">
        <v>84816.339900000006</v>
      </c>
      <c r="E9">
        <v>18997725.7399</v>
      </c>
      <c r="F9">
        <v>19082542.079799999</v>
      </c>
      <c r="G9">
        <v>4632895.4497999996</v>
      </c>
      <c r="H9">
        <v>9.9999830126762404E-5</v>
      </c>
      <c r="I9">
        <v>5.8697864433519403E-3</v>
      </c>
      <c r="J9">
        <v>1.3147536563598301</v>
      </c>
      <c r="K9">
        <v>1.32062344280318</v>
      </c>
    </row>
    <row r="10" spans="1:11" x14ac:dyDescent="0.25">
      <c r="A10" t="s">
        <v>60</v>
      </c>
      <c r="B10">
        <v>44460671.539899997</v>
      </c>
      <c r="C10">
        <v>44460671.539899997</v>
      </c>
      <c r="D10">
        <v>0</v>
      </c>
      <c r="E10">
        <v>57865372.620099999</v>
      </c>
      <c r="F10">
        <v>57865372.620099999</v>
      </c>
      <c r="G10">
        <v>13404701.0802</v>
      </c>
      <c r="H10">
        <v>0</v>
      </c>
      <c r="I10">
        <v>0</v>
      </c>
      <c r="J10">
        <v>1.30149569531738</v>
      </c>
      <c r="K10">
        <v>1.30149569531738</v>
      </c>
    </row>
    <row r="11" spans="1:11" x14ac:dyDescent="0.25">
      <c r="A11" t="s">
        <v>61</v>
      </c>
      <c r="B11">
        <v>54000000</v>
      </c>
      <c r="C11">
        <v>54000000</v>
      </c>
      <c r="D11">
        <v>0</v>
      </c>
      <c r="E11">
        <v>52482063.000100002</v>
      </c>
      <c r="F11">
        <v>52482063.000100002</v>
      </c>
      <c r="G11">
        <v>-1517936.9998999999</v>
      </c>
      <c r="H11">
        <v>0</v>
      </c>
      <c r="I11">
        <v>0</v>
      </c>
      <c r="J11">
        <v>0.97189005555740804</v>
      </c>
      <c r="K11">
        <v>0.97189005555740804</v>
      </c>
    </row>
    <row r="12" spans="1:11" x14ac:dyDescent="0.25">
      <c r="A12" t="s">
        <v>62</v>
      </c>
      <c r="B12">
        <v>29999999.999899998</v>
      </c>
      <c r="C12">
        <v>30000000</v>
      </c>
      <c r="D12">
        <v>58933639.640299998</v>
      </c>
      <c r="E12">
        <v>0</v>
      </c>
      <c r="F12">
        <v>58933639.640299998</v>
      </c>
      <c r="G12">
        <v>28933639.640299998</v>
      </c>
      <c r="H12">
        <v>-1.00001692771912E-4</v>
      </c>
      <c r="I12">
        <v>1.9644546546766699</v>
      </c>
      <c r="J12">
        <v>0</v>
      </c>
      <c r="K12">
        <v>1.9644546546766699</v>
      </c>
    </row>
    <row r="13" spans="1:11" x14ac:dyDescent="0.25">
      <c r="A13" t="s">
        <v>63</v>
      </c>
      <c r="B13">
        <v>19660843.369899999</v>
      </c>
      <c r="C13">
        <v>19660843.370000001</v>
      </c>
      <c r="D13">
        <v>0</v>
      </c>
      <c r="E13">
        <v>23968715.149999999</v>
      </c>
      <c r="F13">
        <v>23968715.149999999</v>
      </c>
      <c r="G13">
        <v>4307871.78</v>
      </c>
      <c r="H13">
        <v>-1.00001692771912E-4</v>
      </c>
      <c r="I13">
        <v>0</v>
      </c>
      <c r="J13">
        <v>1.2191092059953701</v>
      </c>
      <c r="K13">
        <v>1.2191092059953701</v>
      </c>
    </row>
    <row r="14" spans="1:11" x14ac:dyDescent="0.25">
      <c r="A14" t="s">
        <v>64</v>
      </c>
      <c r="B14">
        <v>14312238.1501</v>
      </c>
      <c r="C14">
        <v>14312238.1501</v>
      </c>
      <c r="D14">
        <v>33130742.269099999</v>
      </c>
      <c r="E14">
        <v>-1E-4</v>
      </c>
      <c r="F14">
        <v>33130742.269000001</v>
      </c>
      <c r="G14">
        <v>18818504.118900001</v>
      </c>
      <c r="H14">
        <v>0</v>
      </c>
      <c r="I14">
        <v>2.3148540376173501</v>
      </c>
      <c r="J14">
        <v>-6.9870273923090997E-12</v>
      </c>
      <c r="K14">
        <v>2.3148540376103601</v>
      </c>
    </row>
    <row r="15" spans="1:11" x14ac:dyDescent="0.25">
      <c r="A15" t="s">
        <v>65</v>
      </c>
      <c r="B15">
        <v>61494620</v>
      </c>
      <c r="C15">
        <v>61494620</v>
      </c>
      <c r="D15">
        <v>0</v>
      </c>
      <c r="E15">
        <v>118980676</v>
      </c>
      <c r="F15">
        <v>118980676</v>
      </c>
      <c r="G15">
        <v>57486056</v>
      </c>
      <c r="H15">
        <v>0</v>
      </c>
      <c r="I15">
        <v>0</v>
      </c>
      <c r="J15">
        <v>1.9348143951454599</v>
      </c>
      <c r="K15">
        <v>1.9348143951454599</v>
      </c>
    </row>
    <row r="16" spans="1:11" x14ac:dyDescent="0.25">
      <c r="A16" t="s">
        <v>66</v>
      </c>
      <c r="B16">
        <v>16400000.0002</v>
      </c>
      <c r="C16">
        <v>16400000.0002</v>
      </c>
      <c r="D16">
        <v>0</v>
      </c>
      <c r="E16">
        <v>20669392</v>
      </c>
      <c r="F16">
        <v>20669392</v>
      </c>
      <c r="G16">
        <v>4269391.9998000003</v>
      </c>
      <c r="H16">
        <v>0</v>
      </c>
      <c r="I16">
        <v>0</v>
      </c>
      <c r="J16">
        <v>1.2603287804724399</v>
      </c>
      <c r="K16">
        <v>1.2603287804724399</v>
      </c>
    </row>
    <row r="17" spans="1:11" x14ac:dyDescent="0.25">
      <c r="A17" t="s">
        <v>67</v>
      </c>
      <c r="B17">
        <v>20634448</v>
      </c>
      <c r="C17">
        <v>20634448</v>
      </c>
      <c r="D17">
        <v>4353598</v>
      </c>
      <c r="E17">
        <v>32341978.999899998</v>
      </c>
      <c r="F17">
        <v>36695576.999899998</v>
      </c>
      <c r="G17">
        <v>16061128.9999</v>
      </c>
      <c r="H17">
        <v>0</v>
      </c>
      <c r="I17">
        <v>0.210986889496632</v>
      </c>
      <c r="J17">
        <v>1.5673779594152499</v>
      </c>
      <c r="K17">
        <v>1.77836484891188</v>
      </c>
    </row>
    <row r="18" spans="1:11" x14ac:dyDescent="0.25">
      <c r="A18" t="s">
        <v>68</v>
      </c>
      <c r="B18">
        <v>18972002.199999999</v>
      </c>
      <c r="C18">
        <v>18972002.199999999</v>
      </c>
      <c r="D18">
        <v>41894606.1303</v>
      </c>
      <c r="E18">
        <v>26045010.68</v>
      </c>
      <c r="F18">
        <v>67939616.810299993</v>
      </c>
      <c r="G18">
        <v>48967614.610299997</v>
      </c>
      <c r="H18">
        <v>0</v>
      </c>
      <c r="I18">
        <v>2.2082332528034398</v>
      </c>
      <c r="J18">
        <v>1.3728129696295299</v>
      </c>
      <c r="K18">
        <v>3.58104622243297</v>
      </c>
    </row>
    <row r="19" spans="1:11" x14ac:dyDescent="0.25">
      <c r="A19" t="s">
        <v>69</v>
      </c>
      <c r="B19">
        <v>24156138.359949999</v>
      </c>
      <c r="C19">
        <v>24156138.360100001</v>
      </c>
      <c r="D19">
        <v>0</v>
      </c>
      <c r="E19">
        <v>31987496.139899999</v>
      </c>
      <c r="F19">
        <v>31987496.139899999</v>
      </c>
      <c r="G19">
        <v>7831357.7797999997</v>
      </c>
      <c r="H19">
        <v>-1.50002539157867E-4</v>
      </c>
      <c r="I19">
        <v>0</v>
      </c>
      <c r="J19">
        <v>1.3241974219163899</v>
      </c>
      <c r="K19">
        <v>1.3241974219163899</v>
      </c>
    </row>
    <row r="20" spans="1:11" x14ac:dyDescent="0.25">
      <c r="A20" t="s">
        <v>70</v>
      </c>
      <c r="B20">
        <v>39702146.490099996</v>
      </c>
      <c r="C20">
        <v>39702146.490099996</v>
      </c>
      <c r="D20">
        <v>0</v>
      </c>
      <c r="E20">
        <v>38280470.780100003</v>
      </c>
      <c r="F20">
        <v>38280470.780100003</v>
      </c>
      <c r="G20">
        <v>-1421675.70999999</v>
      </c>
      <c r="H20">
        <v>0</v>
      </c>
      <c r="I20">
        <v>0</v>
      </c>
      <c r="J20">
        <v>0.96419146480267803</v>
      </c>
      <c r="K20">
        <v>0.96419146480267803</v>
      </c>
    </row>
    <row r="21" spans="1:11" x14ac:dyDescent="0.25">
      <c r="A21" t="s">
        <v>71</v>
      </c>
      <c r="B21">
        <v>57431681.850100003</v>
      </c>
      <c r="C21">
        <v>57431681.850100003</v>
      </c>
      <c r="D21">
        <v>0</v>
      </c>
      <c r="E21">
        <v>95765977.619900003</v>
      </c>
      <c r="F21">
        <v>95765977.619900003</v>
      </c>
      <c r="G21">
        <v>38334295.7698</v>
      </c>
      <c r="H21">
        <v>0</v>
      </c>
      <c r="I21">
        <v>0</v>
      </c>
      <c r="J21">
        <v>1.66747646133461</v>
      </c>
      <c r="K21">
        <v>1.66747646133461</v>
      </c>
    </row>
    <row r="22" spans="1:11" x14ac:dyDescent="0.25">
      <c r="A22" t="s">
        <v>72</v>
      </c>
      <c r="B22">
        <v>32566568.129900001</v>
      </c>
      <c r="C22">
        <v>30612220.3101</v>
      </c>
      <c r="D22">
        <v>0</v>
      </c>
      <c r="E22">
        <v>29053529.6501</v>
      </c>
      <c r="F22">
        <v>29053529.6501</v>
      </c>
      <c r="G22">
        <v>-1558690.66</v>
      </c>
      <c r="H22">
        <v>1954347.8197999999</v>
      </c>
      <c r="I22">
        <v>0</v>
      </c>
      <c r="J22">
        <v>0.94908273087641004</v>
      </c>
      <c r="K22">
        <v>0.94908273087641004</v>
      </c>
    </row>
    <row r="23" spans="1:11" x14ac:dyDescent="0.25">
      <c r="A23" t="s">
        <v>73</v>
      </c>
      <c r="B23">
        <v>87649409.909700006</v>
      </c>
      <c r="C23">
        <v>87649409.909700006</v>
      </c>
      <c r="D23">
        <v>0</v>
      </c>
      <c r="E23">
        <v>164656134.68009999</v>
      </c>
      <c r="F23">
        <v>164656134.68009999</v>
      </c>
      <c r="G23">
        <v>77006724.770400003</v>
      </c>
      <c r="H23">
        <v>0</v>
      </c>
      <c r="I23">
        <v>0</v>
      </c>
      <c r="J23">
        <v>1.8785766481455499</v>
      </c>
      <c r="K23">
        <v>1.8785766481455499</v>
      </c>
    </row>
    <row r="24" spans="1:11" x14ac:dyDescent="0.25">
      <c r="A24" t="s">
        <v>74</v>
      </c>
      <c r="B24">
        <v>8590502.4300999995</v>
      </c>
      <c r="C24">
        <v>8590502.4300999995</v>
      </c>
      <c r="D24">
        <v>0</v>
      </c>
      <c r="E24">
        <v>9774328.0000999998</v>
      </c>
      <c r="F24">
        <v>9774328.0000999998</v>
      </c>
      <c r="G24">
        <v>1183825.57</v>
      </c>
      <c r="H24">
        <v>0</v>
      </c>
      <c r="I24">
        <v>0</v>
      </c>
      <c r="J24">
        <v>1.13780632502379</v>
      </c>
      <c r="K24">
        <v>1.13780632502379</v>
      </c>
    </row>
    <row r="25" spans="1:11" x14ac:dyDescent="0.25">
      <c r="A25" t="s">
        <v>75</v>
      </c>
      <c r="B25">
        <v>27842045.000206999</v>
      </c>
      <c r="C25">
        <v>27842045.000100002</v>
      </c>
      <c r="D25">
        <v>0</v>
      </c>
      <c r="E25">
        <v>28220016.110100001</v>
      </c>
      <c r="F25">
        <v>28220016.110100001</v>
      </c>
      <c r="G25">
        <v>377971.109999999</v>
      </c>
      <c r="H25">
        <v>1.07001513242722E-4</v>
      </c>
      <c r="I25">
        <v>0</v>
      </c>
      <c r="J25">
        <v>1.0135755512929701</v>
      </c>
      <c r="K25">
        <v>1.0135755512929701</v>
      </c>
    </row>
    <row r="26" spans="1:11" x14ac:dyDescent="0.25">
      <c r="A26" t="s">
        <v>76</v>
      </c>
      <c r="B26">
        <v>16660409.539799999</v>
      </c>
      <c r="C26">
        <v>16660409.539799999</v>
      </c>
      <c r="D26">
        <v>0</v>
      </c>
      <c r="E26">
        <v>17224806.760000002</v>
      </c>
      <c r="F26">
        <v>17224806.760000002</v>
      </c>
      <c r="G26">
        <v>564397.22020000196</v>
      </c>
      <c r="H26">
        <v>0</v>
      </c>
      <c r="I26">
        <v>0</v>
      </c>
      <c r="J26">
        <v>1.0338765514048001</v>
      </c>
      <c r="K26">
        <v>1.0338765514048001</v>
      </c>
    </row>
    <row r="27" spans="1:11" x14ac:dyDescent="0.25">
      <c r="A27" t="s">
        <v>77</v>
      </c>
      <c r="B27">
        <v>21309118.379999999</v>
      </c>
      <c r="C27">
        <v>21309118.379999999</v>
      </c>
      <c r="D27">
        <v>59077105.249799997</v>
      </c>
      <c r="E27">
        <v>10745865.6099</v>
      </c>
      <c r="F27">
        <v>69822970.859699994</v>
      </c>
      <c r="G27">
        <v>48513852.479699999</v>
      </c>
      <c r="H27">
        <v>0</v>
      </c>
      <c r="I27">
        <v>2.7723861774238299</v>
      </c>
      <c r="J27">
        <v>0.50428485206528795</v>
      </c>
      <c r="K27">
        <v>3.2766710294891102</v>
      </c>
    </row>
    <row r="28" spans="1:11" x14ac:dyDescent="0.25">
      <c r="A28" t="s">
        <v>78</v>
      </c>
      <c r="B28">
        <v>14999999.9999</v>
      </c>
      <c r="C28">
        <v>14999999.9999</v>
      </c>
      <c r="D28">
        <v>0</v>
      </c>
      <c r="E28">
        <v>16030197.0001</v>
      </c>
      <c r="F28">
        <v>16030197.0001</v>
      </c>
      <c r="G28">
        <v>1030197.0002</v>
      </c>
      <c r="H28">
        <v>0</v>
      </c>
      <c r="I28">
        <v>0</v>
      </c>
      <c r="J28">
        <v>1.06867980001379</v>
      </c>
      <c r="K28">
        <v>1.06867980001379</v>
      </c>
    </row>
    <row r="29" spans="1:11" x14ac:dyDescent="0.25">
      <c r="A29" t="s">
        <v>79</v>
      </c>
      <c r="B29">
        <v>60061403.5101</v>
      </c>
      <c r="C29">
        <v>60061403.510200001</v>
      </c>
      <c r="D29">
        <v>0</v>
      </c>
      <c r="E29">
        <v>69623358.000100002</v>
      </c>
      <c r="F29">
        <v>69623358.000100002</v>
      </c>
      <c r="G29">
        <v>9561954.4899000004</v>
      </c>
      <c r="H29">
        <v>-1.00001692771912E-4</v>
      </c>
      <c r="I29">
        <v>0</v>
      </c>
      <c r="J29">
        <v>1.1592029811337301</v>
      </c>
      <c r="K29">
        <v>1.1592029811337301</v>
      </c>
    </row>
    <row r="30" spans="1:11" x14ac:dyDescent="0.25">
      <c r="A30" t="s">
        <v>80</v>
      </c>
      <c r="B30">
        <v>70000000.000100002</v>
      </c>
      <c r="C30">
        <v>59999999.999899998</v>
      </c>
      <c r="D30">
        <v>97759.000100000005</v>
      </c>
      <c r="E30">
        <v>71694276.349900007</v>
      </c>
      <c r="F30">
        <v>71792035.349999994</v>
      </c>
      <c r="G30">
        <v>11792035.350099999</v>
      </c>
      <c r="H30">
        <v>10000000.0002</v>
      </c>
      <c r="I30">
        <v>1.6293166683360499E-3</v>
      </c>
      <c r="J30">
        <v>1.1949046058336601</v>
      </c>
      <c r="K30">
        <v>1.19653392250199</v>
      </c>
    </row>
    <row r="31" spans="1:11" x14ac:dyDescent="0.25">
      <c r="A31" t="s">
        <v>81</v>
      </c>
      <c r="B31">
        <v>51250000</v>
      </c>
      <c r="C31">
        <v>51249999.999799997</v>
      </c>
      <c r="D31">
        <v>0</v>
      </c>
      <c r="E31">
        <v>67035249.000100002</v>
      </c>
      <c r="F31">
        <v>67035249.000100002</v>
      </c>
      <c r="G31">
        <v>15785249.000299999</v>
      </c>
      <c r="H31">
        <v>2.00003385543823E-4</v>
      </c>
      <c r="I31">
        <v>0</v>
      </c>
      <c r="J31">
        <v>1.3080048585436399</v>
      </c>
      <c r="K31">
        <v>1.3080048585436399</v>
      </c>
    </row>
    <row r="32" spans="1:11" x14ac:dyDescent="0.25">
      <c r="A32" t="s">
        <v>82</v>
      </c>
      <c r="B32">
        <v>43295972.5</v>
      </c>
      <c r="C32">
        <v>43295972.500200003</v>
      </c>
      <c r="D32">
        <v>0</v>
      </c>
      <c r="E32">
        <v>40600621</v>
      </c>
      <c r="F32">
        <v>40600621</v>
      </c>
      <c r="G32">
        <v>-2695351.5002000001</v>
      </c>
      <c r="H32">
        <v>-2.00003385543823E-4</v>
      </c>
      <c r="I32">
        <v>0</v>
      </c>
      <c r="J32">
        <v>0.93774590696195703</v>
      </c>
      <c r="K32">
        <v>0.93774590696195703</v>
      </c>
    </row>
    <row r="33" spans="1:11" x14ac:dyDescent="0.25">
      <c r="A33" t="s">
        <v>83</v>
      </c>
      <c r="B33">
        <v>29999999.999899998</v>
      </c>
      <c r="C33">
        <v>30000000</v>
      </c>
      <c r="D33">
        <v>0</v>
      </c>
      <c r="E33">
        <v>64431869</v>
      </c>
      <c r="F33">
        <v>64431869</v>
      </c>
      <c r="G33">
        <v>34431869</v>
      </c>
      <c r="H33">
        <v>-1.00001692771912E-4</v>
      </c>
      <c r="I33">
        <v>0</v>
      </c>
      <c r="J33">
        <v>2.1477289666666701</v>
      </c>
      <c r="K33">
        <v>2.1477289666666701</v>
      </c>
    </row>
    <row r="34" spans="1:11" x14ac:dyDescent="0.25">
      <c r="A34" t="s">
        <v>84</v>
      </c>
      <c r="B34">
        <v>13881527.869899999</v>
      </c>
      <c r="C34">
        <v>13881527.869899999</v>
      </c>
      <c r="D34">
        <v>0</v>
      </c>
      <c r="E34">
        <v>14516189.460100001</v>
      </c>
      <c r="F34">
        <v>14516189.460100001</v>
      </c>
      <c r="G34">
        <v>634661.59020000102</v>
      </c>
      <c r="H34">
        <v>0</v>
      </c>
      <c r="I34">
        <v>0</v>
      </c>
      <c r="J34">
        <v>1.04571986571998</v>
      </c>
      <c r="K34">
        <v>1.04571986571998</v>
      </c>
    </row>
    <row r="35" spans="1:11" x14ac:dyDescent="0.25">
      <c r="A35" t="s">
        <v>85</v>
      </c>
      <c r="B35">
        <v>30334738.629700001</v>
      </c>
      <c r="C35">
        <v>30334738.629700001</v>
      </c>
      <c r="D35">
        <v>0</v>
      </c>
      <c r="E35">
        <v>90943884.959900007</v>
      </c>
      <c r="F35">
        <v>90943884.959900007</v>
      </c>
      <c r="G35">
        <v>60609146.330200002</v>
      </c>
      <c r="H35">
        <v>0</v>
      </c>
      <c r="I35">
        <v>0</v>
      </c>
      <c r="J35">
        <v>2.99801116040799</v>
      </c>
      <c r="K35">
        <v>2.99801116040799</v>
      </c>
    </row>
    <row r="36" spans="1:11" x14ac:dyDescent="0.25">
      <c r="A36" t="s">
        <v>86</v>
      </c>
      <c r="B36">
        <v>24999999.999899998</v>
      </c>
      <c r="C36">
        <v>24999999.999899998</v>
      </c>
      <c r="D36">
        <v>3766229.9298999999</v>
      </c>
      <c r="E36">
        <v>22322394.999899998</v>
      </c>
      <c r="F36">
        <v>26088624.9298</v>
      </c>
      <c r="G36">
        <v>1088624.9299000001</v>
      </c>
      <c r="H36">
        <v>0</v>
      </c>
      <c r="I36">
        <v>0.150649197196603</v>
      </c>
      <c r="J36">
        <v>0.89289579999957203</v>
      </c>
      <c r="K36">
        <v>1.0435449971961701</v>
      </c>
    </row>
    <row r="37" spans="1:11" x14ac:dyDescent="0.25">
      <c r="A37" t="s">
        <v>87</v>
      </c>
      <c r="B37">
        <v>21630938.739999998</v>
      </c>
      <c r="C37">
        <v>21630938.739999998</v>
      </c>
      <c r="D37">
        <v>0</v>
      </c>
      <c r="E37">
        <v>35476354.850100003</v>
      </c>
      <c r="F37">
        <v>35476354.850100003</v>
      </c>
      <c r="G37">
        <v>13845416.110099999</v>
      </c>
      <c r="H37">
        <v>0</v>
      </c>
      <c r="I37">
        <v>0</v>
      </c>
      <c r="J37">
        <v>1.6400746762089</v>
      </c>
      <c r="K37">
        <v>1.6400746762089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E0F0B-4CDA-4E40-8F09-79418629FB6E}">
  <sheetPr codeName="Sheet7"/>
  <dimension ref="A1:F79"/>
  <sheetViews>
    <sheetView workbookViewId="0">
      <selection activeCell="D34" sqref="D34"/>
    </sheetView>
  </sheetViews>
  <sheetFormatPr defaultRowHeight="15" x14ac:dyDescent="0.25"/>
  <cols>
    <col min="1" max="1" width="16.42578125" bestFit="1" customWidth="1"/>
    <col min="2" max="2" width="22" bestFit="1" customWidth="1"/>
    <col min="3" max="3" width="20.140625" bestFit="1" customWidth="1"/>
    <col min="4" max="4" width="28.85546875" bestFit="1" customWidth="1"/>
    <col min="5" max="5" width="16.140625" bestFit="1" customWidth="1"/>
  </cols>
  <sheetData>
    <row r="1" spans="1:6" x14ac:dyDescent="0.25">
      <c r="A1" t="s">
        <v>91</v>
      </c>
      <c r="B1" t="s">
        <v>94</v>
      </c>
      <c r="C1" t="s">
        <v>92</v>
      </c>
      <c r="D1" t="s">
        <v>4</v>
      </c>
      <c r="E1" t="s">
        <v>33</v>
      </c>
      <c r="F1" t="s">
        <v>23</v>
      </c>
    </row>
    <row r="2" spans="1:6" x14ac:dyDescent="0.25">
      <c r="A2" t="s">
        <v>95</v>
      </c>
      <c r="B2" t="s">
        <v>89</v>
      </c>
      <c r="C2" t="s">
        <v>93</v>
      </c>
      <c r="D2" t="s">
        <v>87</v>
      </c>
    </row>
    <row r="3" spans="1:6" x14ac:dyDescent="0.25">
      <c r="A3" t="s">
        <v>95</v>
      </c>
      <c r="B3" t="s">
        <v>51</v>
      </c>
      <c r="C3" t="s">
        <v>16</v>
      </c>
      <c r="D3" t="s">
        <v>74</v>
      </c>
      <c r="E3">
        <v>9774328</v>
      </c>
      <c r="F3">
        <v>9056075</v>
      </c>
    </row>
    <row r="4" spans="1:6" x14ac:dyDescent="0.25">
      <c r="A4" t="s">
        <v>96</v>
      </c>
      <c r="B4" t="s">
        <v>52</v>
      </c>
      <c r="C4" t="s">
        <v>16</v>
      </c>
      <c r="D4" t="s">
        <v>74</v>
      </c>
      <c r="E4">
        <v>9774328</v>
      </c>
      <c r="F4">
        <v>9056075</v>
      </c>
    </row>
    <row r="5" spans="1:6" x14ac:dyDescent="0.25">
      <c r="A5" t="s">
        <v>96</v>
      </c>
      <c r="B5" t="s">
        <v>53</v>
      </c>
      <c r="C5" t="s">
        <v>16</v>
      </c>
      <c r="D5" t="s">
        <v>74</v>
      </c>
      <c r="E5">
        <v>1183826</v>
      </c>
      <c r="F5">
        <v>465572.8</v>
      </c>
    </row>
    <row r="6" spans="1:6" x14ac:dyDescent="0.25">
      <c r="A6" t="s">
        <v>96</v>
      </c>
      <c r="B6" t="s">
        <v>55</v>
      </c>
      <c r="C6" t="s">
        <v>16</v>
      </c>
      <c r="D6" t="s">
        <v>64</v>
      </c>
      <c r="E6" s="18">
        <v>2.314854</v>
      </c>
      <c r="F6" s="18">
        <v>3.2393200000000002</v>
      </c>
    </row>
    <row r="7" spans="1:6" x14ac:dyDescent="0.25">
      <c r="A7" t="s">
        <v>96</v>
      </c>
      <c r="B7" t="s">
        <v>56</v>
      </c>
      <c r="C7" t="s">
        <v>16</v>
      </c>
      <c r="D7" t="s">
        <v>64</v>
      </c>
      <c r="E7" s="18">
        <v>-7.0000000000000001E-12</v>
      </c>
      <c r="F7" s="18">
        <v>9.2800000000000005E-11</v>
      </c>
    </row>
    <row r="8" spans="1:6" x14ac:dyDescent="0.25">
      <c r="A8" t="s">
        <v>96</v>
      </c>
      <c r="B8" t="s">
        <v>56</v>
      </c>
      <c r="C8" t="s">
        <v>16</v>
      </c>
      <c r="D8" t="s">
        <v>74</v>
      </c>
      <c r="E8">
        <v>1.1378060000000001</v>
      </c>
      <c r="F8">
        <v>3.1331880000000001</v>
      </c>
    </row>
    <row r="9" spans="1:6" x14ac:dyDescent="0.25">
      <c r="A9" t="s">
        <v>97</v>
      </c>
      <c r="B9" t="s">
        <v>57</v>
      </c>
      <c r="C9" t="s">
        <v>16</v>
      </c>
      <c r="D9" t="s">
        <v>64</v>
      </c>
      <c r="E9">
        <v>2.314854</v>
      </c>
      <c r="F9">
        <v>3.2393200000000002</v>
      </c>
    </row>
    <row r="10" spans="1:6" x14ac:dyDescent="0.25">
      <c r="A10" t="s">
        <v>97</v>
      </c>
      <c r="B10" t="s">
        <v>57</v>
      </c>
      <c r="C10" t="s">
        <v>16</v>
      </c>
      <c r="D10" t="s">
        <v>74</v>
      </c>
      <c r="E10">
        <v>1.1378060000000001</v>
      </c>
      <c r="F10">
        <v>3.1331880000000001</v>
      </c>
    </row>
    <row r="11" spans="1:6" x14ac:dyDescent="0.25">
      <c r="A11" t="s">
        <v>98</v>
      </c>
      <c r="B11" t="s">
        <v>89</v>
      </c>
      <c r="C11" t="s">
        <v>93</v>
      </c>
      <c r="D11" t="s">
        <v>87</v>
      </c>
    </row>
    <row r="12" spans="1:6" x14ac:dyDescent="0.25">
      <c r="A12" t="s">
        <v>99</v>
      </c>
      <c r="B12" t="s">
        <v>51</v>
      </c>
      <c r="C12" t="s">
        <v>16</v>
      </c>
      <c r="D12" t="s">
        <v>74</v>
      </c>
      <c r="E12">
        <v>9774328</v>
      </c>
      <c r="F12">
        <v>9056075</v>
      </c>
    </row>
    <row r="13" spans="1:6" x14ac:dyDescent="0.25">
      <c r="A13" t="s">
        <v>99</v>
      </c>
      <c r="B13" t="s">
        <v>52</v>
      </c>
      <c r="C13" t="s">
        <v>16</v>
      </c>
      <c r="D13" t="s">
        <v>74</v>
      </c>
      <c r="E13">
        <v>9774328</v>
      </c>
      <c r="F13">
        <v>9056075</v>
      </c>
    </row>
    <row r="14" spans="1:6" x14ac:dyDescent="0.25">
      <c r="A14" t="s">
        <v>99</v>
      </c>
      <c r="B14" t="s">
        <v>53</v>
      </c>
      <c r="C14" t="s">
        <v>16</v>
      </c>
      <c r="D14" t="s">
        <v>74</v>
      </c>
      <c r="E14" s="18">
        <v>1183826</v>
      </c>
      <c r="F14" s="18">
        <v>465572.8</v>
      </c>
    </row>
    <row r="15" spans="1:6" x14ac:dyDescent="0.25">
      <c r="A15" t="s">
        <v>100</v>
      </c>
      <c r="B15" t="s">
        <v>55</v>
      </c>
      <c r="C15" t="s">
        <v>16</v>
      </c>
      <c r="D15" t="s">
        <v>64</v>
      </c>
      <c r="E15" s="18">
        <v>2.314854</v>
      </c>
      <c r="F15" s="18">
        <v>3.2393200000000002</v>
      </c>
    </row>
    <row r="16" spans="1:6" x14ac:dyDescent="0.25">
      <c r="A16" t="s">
        <v>100</v>
      </c>
      <c r="B16" t="s">
        <v>56</v>
      </c>
      <c r="C16" t="s">
        <v>16</v>
      </c>
      <c r="D16" t="s">
        <v>64</v>
      </c>
      <c r="E16" s="18">
        <v>-7.0000000000000001E-12</v>
      </c>
      <c r="F16" s="18">
        <v>9.2800000000000005E-11</v>
      </c>
    </row>
    <row r="17" spans="1:6" x14ac:dyDescent="0.25">
      <c r="A17" t="s">
        <v>100</v>
      </c>
      <c r="B17" t="s">
        <v>56</v>
      </c>
      <c r="C17" t="s">
        <v>16</v>
      </c>
      <c r="D17" t="s">
        <v>74</v>
      </c>
      <c r="E17">
        <v>1.1378060000000001</v>
      </c>
      <c r="F17">
        <v>3.1331880000000001</v>
      </c>
    </row>
    <row r="18" spans="1:6" x14ac:dyDescent="0.25">
      <c r="A18" t="s">
        <v>100</v>
      </c>
      <c r="B18" t="s">
        <v>57</v>
      </c>
      <c r="C18" t="s">
        <v>16</v>
      </c>
      <c r="D18" t="s">
        <v>64</v>
      </c>
      <c r="E18">
        <v>2.314854</v>
      </c>
      <c r="F18">
        <v>3.2393200000000002</v>
      </c>
    </row>
    <row r="19" spans="1:6" x14ac:dyDescent="0.25">
      <c r="A19" t="s">
        <v>100</v>
      </c>
      <c r="B19" t="s">
        <v>57</v>
      </c>
      <c r="C19" t="s">
        <v>16</v>
      </c>
      <c r="D19" t="s">
        <v>74</v>
      </c>
      <c r="E19">
        <v>1.1378060000000001</v>
      </c>
      <c r="F19">
        <v>3.1331880000000001</v>
      </c>
    </row>
    <row r="22" spans="1:6" x14ac:dyDescent="0.25">
      <c r="E22" s="18"/>
      <c r="F22" s="18"/>
    </row>
    <row r="32" spans="1:6" x14ac:dyDescent="0.25">
      <c r="E32" s="18"/>
      <c r="F32" s="18"/>
    </row>
    <row r="33" spans="5:6" x14ac:dyDescent="0.25">
      <c r="E33" s="18"/>
      <c r="F33" s="18"/>
    </row>
    <row r="41" spans="5:6" x14ac:dyDescent="0.25">
      <c r="E41" s="18"/>
      <c r="F41" s="18"/>
    </row>
    <row r="50" spans="5:6" x14ac:dyDescent="0.25">
      <c r="E50" s="18"/>
      <c r="F50" s="18"/>
    </row>
    <row r="51" spans="5:6" x14ac:dyDescent="0.25">
      <c r="E51" s="18"/>
      <c r="F51" s="18"/>
    </row>
    <row r="68" spans="5:6" x14ac:dyDescent="0.25">
      <c r="E68" s="18"/>
      <c r="F68" s="18"/>
    </row>
    <row r="79" spans="5:6" x14ac:dyDescent="0.25">
      <c r="E79" s="18"/>
      <c r="F79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tabSelected="1" workbookViewId="0">
      <selection activeCell="J17" sqref="J17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4" max="4" width="9.28515625" customWidth="1"/>
    <col min="5" max="5" width="18.7109375" bestFit="1" customWidth="1"/>
  </cols>
  <sheetData>
    <row r="1" spans="1:6" x14ac:dyDescent="0.25">
      <c r="B1" s="9" t="s">
        <v>0</v>
      </c>
      <c r="C1" s="10" t="s">
        <v>1</v>
      </c>
    </row>
    <row r="2" spans="1:6" ht="45" x14ac:dyDescent="0.25">
      <c r="A2" s="17" t="s">
        <v>20</v>
      </c>
      <c r="B2" s="12" t="s">
        <v>41</v>
      </c>
      <c r="C2" s="16" t="s">
        <v>41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33</v>
      </c>
      <c r="C3" s="11" t="s">
        <v>23</v>
      </c>
      <c r="E3" s="13" t="s">
        <v>3</v>
      </c>
      <c r="F3" s="15"/>
    </row>
    <row r="4" spans="1:6" x14ac:dyDescent="0.25">
      <c r="A4" s="1" t="s">
        <v>22</v>
      </c>
      <c r="B4" s="11" t="s">
        <v>33</v>
      </c>
      <c r="C4" s="11" t="s">
        <v>23</v>
      </c>
      <c r="E4" s="13" t="s">
        <v>34</v>
      </c>
      <c r="F4" s="13" t="s">
        <v>35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37</v>
      </c>
      <c r="C6" s="11" t="s">
        <v>37</v>
      </c>
    </row>
    <row r="7" spans="1:6" x14ac:dyDescent="0.25">
      <c r="A7" s="1" t="s">
        <v>26</v>
      </c>
      <c r="B7" s="11">
        <v>8</v>
      </c>
      <c r="C7" s="11">
        <v>10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1">
    <dataValidation type="list" allowBlank="1" showInputMessage="1" sqref="B3:C3" xr:uid="{397F2CE6-6B05-4934-AC99-96769F706E64}">
      <formula1>"NextGen,Verified Data Set,_Results,Verified Data Set (Original)"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11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lear_Results">
                <anchor moveWithCells="1" sizeWithCells="1">
                  <from>
                    <xdr:col>9</xdr:col>
                    <xdr:colOff>38100</xdr:colOff>
                    <xdr:row>10</xdr:row>
                    <xdr:rowOff>38100</xdr:rowOff>
                  </from>
                  <to>
                    <xdr:col>11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E13" sqref="E13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Version</vt:lpstr>
      <vt:lpstr>NextGen</vt:lpstr>
      <vt:lpstr>Verified Data Set</vt:lpstr>
      <vt:lpstr>_Results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2018-11-08T13:31:58Z</dcterms:modified>
</cp:coreProperties>
</file>